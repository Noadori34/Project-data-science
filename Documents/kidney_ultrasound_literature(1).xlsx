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terature" sheetId="1" state="visible" r:id="rId3"/>
    <sheet name="How to use" sheetId="2" state="visible" r:id="rId4"/>
  </sheets>
  <definedNames>
    <definedName function="false" hidden="false" localSheetId="0" name="_xlnm.Print_Titles" vbProcedure="false">Literature!$6:$6</definedName>
    <definedName function="false" hidden="true" localSheetId="0" name="_xlnm._FilterDatabase" vbProcedure="false">Literature!$A$6:$G$29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<sst xmlns="http://schemas.openxmlformats.org/spreadsheetml/2006/main" count="164" uniqueCount="85">
  <si>
    <t xml:space="preserve">Deep Learning for Kidney Ultrasound Classification — Literature Tracker</t>
  </si>
  <si>
    <t xml:space="preserve">Project: classifying renal ultrasound images to support primary care and reduce Nephrology workload</t>
  </si>
  <si>
    <t xml:space="preserve">Total articles</t>
  </si>
  <si>
    <t xml:space="preserve">Read</t>
  </si>
  <si>
    <t xml:space="preserve">Not read</t>
  </si>
  <si>
    <t xml:space="preserve">High importance</t>
  </si>
  <si>
    <t xml:space="preserve">#</t>
  </si>
  <si>
    <t xml:space="preserve">Article</t>
  </si>
  <si>
    <t xml:space="preserve">Keywords</t>
  </si>
  <si>
    <t xml:space="preserve">Author</t>
  </si>
  <si>
    <t xml:space="preserve">Status</t>
  </si>
  <si>
    <t xml:space="preserve">Importance</t>
  </si>
  <si>
    <t xml:space="preserve">Link</t>
  </si>
  <si>
    <t xml:space="preserve">Deep learning in renal ultrasound: applications, challenges, and future outlook</t>
  </si>
  <si>
    <t xml:space="preserve">Review; deep learning; CKD; segmentation; classification; CNN; transformers</t>
  </si>
  <si>
    <t xml:space="preserve">See link</t>
  </si>
  <si>
    <t xml:space="preserve">High</t>
  </si>
  <si>
    <t xml:space="preserve">Open ↗</t>
  </si>
  <si>
    <t xml:space="preserve">A narrative review on the application of artificial intelligence in renal ultrasound</t>
  </si>
  <si>
    <t xml:space="preserve">Review; AI; interobserver variability; kidney function; diagnosis</t>
  </si>
  <si>
    <t xml:space="preserve">Artificial intelligence-aided ultrasound in renal diseases: a systematic review</t>
  </si>
  <si>
    <t xml:space="preserve">Systematic review; PRISMA; CKD; hydronephrosis; computer-aided diagnosis</t>
  </si>
  <si>
    <t xml:space="preserve">An ensemble of deep neural networks for kidney ultrasound image classification</t>
  </si>
  <si>
    <t xml:space="preserve">Ensemble; transfer learning; SVM; normal/cyst/stone/tumour; speckle noise</t>
  </si>
  <si>
    <t xml:space="preserve">Sudharson S, Kokil P</t>
  </si>
  <si>
    <t xml:space="preserve">Automatic Screening of Pediatric Renal Ultrasound Abnormalities: Deep Learning and Transfer Learning Approach</t>
  </si>
  <si>
    <t xml:space="preserve">ResNet-50; normal vs abnormal; general practitioners; portable ultrasound; pediatric</t>
  </si>
  <si>
    <t xml:space="preserve">Tsai MC, Lu HHS, Chang YC, Huang YC, Fu LS</t>
  </si>
  <si>
    <t xml:space="preserve">Harnessing Artificial Intelligence for Enhanced Renal Analysis: Automated Detection of Hydronephrosis and Precise Kidney Segmentation</t>
  </si>
  <si>
    <t xml:space="preserve">Hydronephrosis; multiple ultrasound devices; ResNet; GoogLeNet; DeepLabV3</t>
  </si>
  <si>
    <t xml:space="preserve">Automation of the kidney function prediction and classification through ultrasound-based kidney imaging using deep learning</t>
  </si>
  <si>
    <t xml:space="preserve">ResNet; transfer learning; eGFR prediction; CKD; npj Digital Medicine</t>
  </si>
  <si>
    <t xml:space="preserve">Kuo CC et al.</t>
  </si>
  <si>
    <t xml:space="preserve">The Open Kidney Ultrasound Data Set</t>
  </si>
  <si>
    <t xml:space="preserve">Public dataset; B-mode ultrasound; segmentation annotations; native and transplanted kidneys</t>
  </si>
  <si>
    <t xml:space="preserve">Singla R et al.</t>
  </si>
  <si>
    <t xml:space="preserve">Texture branch network for chronic kidney disease screening based on ultrasound images</t>
  </si>
  <si>
    <t xml:space="preserve">CNN; texture features; transfer learning; CKD screening; small dataset</t>
  </si>
  <si>
    <t xml:space="preserve">Hao PY, Xu ZY, Tian SY, Wu FL, Chen W, Wu J, Luo XN</t>
  </si>
  <si>
    <t xml:space="preserve">Medium</t>
  </si>
  <si>
    <t xml:space="preserve">Kidney image classification using transfer learning with convolutional neural network</t>
  </si>
  <si>
    <t xml:space="preserve">AlexNet; transfer learning; stone; cyst; hydronephrosis; GA neural network</t>
  </si>
  <si>
    <t xml:space="preserve">Priyanka, Kumar D</t>
  </si>
  <si>
    <t xml:space="preserve">Automating Kidney Disease Diagnosis: Classifying Acute and Chronic Kidney Disease from Ultrasound Images</t>
  </si>
  <si>
    <t xml:space="preserve">U-Net segmentation; dual-input classifier; AKI; CKD; DenseNet121; ResNet50</t>
  </si>
  <si>
    <t xml:space="preserve">Detecting Hydronephrosis Through Ultrasound Images Using State-of-the-Art Deep Learning Models</t>
  </si>
  <si>
    <t xml:space="preserve">Hydronephrosis; U-Net; Res-UNet; UNet++; point-of-care ultrasound</t>
  </si>
  <si>
    <t xml:space="preserve">Deep learning to predict interstitial fibrosis and tubular atrophy (IFTA) from kidney ultrasound</t>
  </si>
  <si>
    <t xml:space="preserve">IFTA; kidney biopsy; segmentation; classification; medRxiv preprint</t>
  </si>
  <si>
    <t xml:space="preserve">Deep learning framework for automated frame selection in kidney ultrasound</t>
  </si>
  <si>
    <t xml:space="preserve">Frame selection; ultrasound video; YOLO classification; workflow automation</t>
  </si>
  <si>
    <t xml:space="preserve">Letter to the Editor: Artificial intelligence in nephrology point-of-care ultrasonography - opportunities, limitations, and future directions</t>
  </si>
  <si>
    <t xml:space="preserve">POCUS; nephrology; AI limitations; clinical decision support</t>
  </si>
  <si>
    <t xml:space="preserve">Koratala A, Ferreira F, Diniz H</t>
  </si>
  <si>
    <t xml:space="preserve">Point-of-Care Kidney and Genitourinary Ultrasound in Adults: Image Acquisition</t>
  </si>
  <si>
    <t xml:space="preserve">POCUS; primary care; image acquisition; acute kidney injury</t>
  </si>
  <si>
    <t xml:space="preserve">Rural point-of-care ultrasound of the kidney and bladder: quality and effect on patient management</t>
  </si>
  <si>
    <t xml:space="preserve">Primary care; rural; POCUS; image quality; patient management</t>
  </si>
  <si>
    <t xml:space="preserve">Nixon G, Blattner K, Muirhead J, Kerse N</t>
  </si>
  <si>
    <t xml:space="preserve">Deep-learning segmentation of ultrasound images for automated calculation of the hydronephrosis area to renal parenchyma ratio</t>
  </si>
  <si>
    <t xml:space="preserve">Segmentation; HARP ratio; DeepLabV3+; UNet++; external validation</t>
  </si>
  <si>
    <t xml:space="preserve">Low</t>
  </si>
  <si>
    <t xml:space="preserve">Classification of Chronic Kidney Disease in Sonography Using the GLCM and Artificial Neural Network</t>
  </si>
  <si>
    <t xml:space="preserve">GLCM texture; ANN; CKD severity; classical machine learning baseline</t>
  </si>
  <si>
    <t xml:space="preserve">Kim DH, Ye SY</t>
  </si>
  <si>
    <t xml:space="preserve">Ultrasound-Based Kidney Stone Classification Using Kronecker Self-Organizing Map Forward Harmonic Network</t>
  </si>
  <si>
    <t xml:space="preserve">Kidney stone; denoising; segmentation; hybrid network</t>
  </si>
  <si>
    <t xml:space="preserve">Kanchanamala P et al.</t>
  </si>
  <si>
    <t xml:space="preserve">Prediction of chronic kidney disease stages by renal ultrasound imaging</t>
  </si>
  <si>
    <t xml:space="preserve">CKD stages; texture features; SVM; classical machine learning</t>
  </si>
  <si>
    <t xml:space="preserve">Chen CJ, Pai TW, Hsu HH, Lee CH, Chen KS, Chen YC</t>
  </si>
  <si>
    <t xml:space="preserve">Machine Learning in Point of Care Ultrasound</t>
  </si>
  <si>
    <t xml:space="preserve">POCUS; machine learning; bedside interpretation; emergency department</t>
  </si>
  <si>
    <t xml:space="preserve">Sonko ML, Arnold TC, Kuznetsov IA</t>
  </si>
  <si>
    <t xml:space="preserve">Advancements in artificial intelligence for detecting urinary tract stones: A systematic review of imaging-based approaches</t>
  </si>
  <si>
    <t xml:space="preserve">Systematic review; kidney stones; CT; ultrasound; resource-limited settings</t>
  </si>
  <si>
    <t xml:space="preserve">Satyagraha P, Budaya TN, Viosandy J</t>
  </si>
  <si>
    <t xml:space="preserve">How to use this tracker</t>
  </si>
  <si>
    <t xml:space="preserve">•</t>
  </si>
  <si>
    <t xml:space="preserve">Status: choose Read or Not read from the dropdown. Read turns green, Not read turns red.</t>
  </si>
  <si>
    <t xml:space="preserve">Importance: choose High, Medium or Low. The ratings are a first suggestion based on how closely each paper matches the project.</t>
  </si>
  <si>
    <t xml:space="preserve">Author 'See link': the authors were not listed in the search results. Open the article and fill them in.</t>
  </si>
  <si>
    <t xml:space="preserve">Link: click Open ↗ to go to the article.</t>
  </si>
  <si>
    <t xml:space="preserve">Use the filter arrows in the header row to show, for example, only High importance or Not read articles.</t>
  </si>
  <si>
    <t xml:space="preserve">The counters at the top update automatically. To add an article, type it in the next empty row; the dropdowns cover rows down to 200.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</si>
</sst>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A6B7D"/>
      <name val="Arial"/>
      <family val="0"/>
      <charset val="1"/>
    </font>
    <font>
      <b val="true"/>
      <sz val="9"/>
      <color rgb="FF5A6B7D"/>
      <name val="Arial"/>
      <family val="0"/>
      <charset val="1"/>
    </font>
    <font>
      <b val="true"/>
      <sz val="18"/>
      <color rgb="FF1F3A5F"/>
      <name val="Arial"/>
      <family val="0"/>
      <charset val="1"/>
    </font>
    <font>
      <b val="true"/>
      <sz val="18"/>
      <color rgb="FF2E7D32"/>
      <name val="Arial"/>
      <family val="0"/>
      <charset val="1"/>
    </font>
    <font>
      <b val="true"/>
      <sz val="18"/>
      <color rgb="FFC62828"/>
      <name val="Arial"/>
      <family val="0"/>
      <charset val="1"/>
    </font>
    <font>
      <b val="true"/>
      <sz val="18"/>
      <color rgb="FFB85C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8A99A8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9"/>
      <color rgb="FF5A6B7D"/>
      <name val="Arial"/>
      <family val="0"/>
      <charset val="1"/>
    </font>
    <font>
      <sz val="10"/>
      <color rgb="FF263238"/>
      <name val="Arial"/>
      <family val="0"/>
      <charset val="1"/>
    </font>
    <font>
      <b val="true"/>
      <u val="single"/>
      <sz val="10"/>
      <color rgb="FF1565C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1"/>
      <color rgb="FF26323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263238"/>
      </patternFill>
    </fill>
    <fill>
      <patternFill patternType="solid">
        <fgColor rgb="FFF3F6FA"/>
        <bgColor rgb="FFFFFFFF"/>
      </patternFill>
    </fill>
    <fill>
      <patternFill patternType="solid">
        <fgColor rgb="FFFFFFFF"/>
        <bgColor rgb="FFF3F6F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3F6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A99A8"/>
          <bgColor rgb="FF000000"/>
        </patternFill>
      </fill>
    </dxf>
    <dxf>
      <fill>
        <patternFill patternType="solid">
          <fgColor rgb="FF5A6B7D"/>
          <bgColor rgb="FF000000"/>
        </patternFill>
      </fill>
    </dxf>
    <dxf>
      <fill>
        <patternFill patternType="solid">
          <fgColor rgb="FF263238"/>
          <bgColor rgb="FF000000"/>
        </patternFill>
      </fill>
    </dxf>
    <dxf>
      <fill>
        <patternFill patternType="solid">
          <fgColor rgb="FFFBE1E1"/>
          <bgColor rgb="FF000000"/>
        </patternFill>
      </fill>
    </dxf>
    <dxf>
      <fill>
        <patternFill patternType="solid">
          <fgColor rgb="FFB71C1C"/>
          <bgColor rgb="FF000000"/>
        </patternFill>
      </fill>
    </dxf>
    <dxf>
      <fill>
        <patternFill patternType="solid">
          <fgColor rgb="FFE3EEF9"/>
          <bgColor rgb="FF000000"/>
        </patternFill>
      </fill>
    </dxf>
    <dxf>
      <fill>
        <patternFill patternType="solid">
          <fgColor rgb="FFFFE0C2"/>
          <bgColor rgb="FF000000"/>
        </patternFill>
      </fill>
    </dxf>
    <dxf>
      <fill>
        <patternFill patternType="solid">
          <fgColor rgb="FFFFF3C4"/>
          <bgColor rgb="FF000000"/>
        </patternFill>
      </fill>
    </dxf>
    <dxf>
      <fill>
        <patternFill patternType="solid">
          <fgColor rgb="FF7A5C00"/>
          <bgColor rgb="FF000000"/>
        </patternFill>
      </fill>
    </dxf>
    <dxf>
      <fill>
        <patternFill patternType="solid">
          <fgColor rgb="FFA04A00"/>
          <bgColor rgb="FF000000"/>
        </patternFill>
      </fill>
    </dxf>
    <dxf>
      <fill>
        <patternFill patternType="solid">
          <fgColor rgb="FF1565C0"/>
          <bgColor rgb="FF000000"/>
        </patternFill>
      </fill>
    </dxf>
    <dxf>
      <font>
        <name val="Arial"/>
        <charset val="1"/>
        <family val="0"/>
        <b val="1"/>
        <color rgb="FF1B5E20"/>
      </font>
      <fill>
        <patternFill>
          <bgColor rgb="FFD7F0DB"/>
        </patternFill>
      </fill>
    </dxf>
    <dxf>
      <font>
        <name val="Arial"/>
        <charset val="1"/>
        <family val="0"/>
        <b val="1"/>
        <color rgb="FFB71C1C"/>
      </font>
      <fill>
        <patternFill>
          <bgColor rgb="FFFBE1E1"/>
        </patternFill>
      </fill>
    </dxf>
    <dxf>
      <font>
        <name val="Arial"/>
        <charset val="1"/>
        <family val="0"/>
        <b val="1"/>
        <color rgb="FFA04A00"/>
      </font>
      <fill>
        <patternFill>
          <bgColor rgb="FFFFE0C2"/>
        </patternFill>
      </fill>
    </dxf>
    <dxf>
      <font>
        <name val="Arial"/>
        <charset val="1"/>
        <family val="0"/>
        <b val="1"/>
        <color rgb="FF7A5C00"/>
      </font>
      <fill>
        <patternFill>
          <bgColor rgb="FFFFF3C4"/>
        </patternFill>
      </fill>
    </dxf>
    <dxf>
      <font>
        <name val="Arial"/>
        <charset val="1"/>
        <family val="0"/>
        <b val="1"/>
        <color rgb="FF1F3A5F"/>
      </font>
      <fill>
        <patternFill>
          <bgColor rgb="FFE3EEF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7A5C00"/>
      <rgbColor rgb="FF800080"/>
      <rgbColor rgb="FF008080"/>
      <rgbColor rgb="FFC0C0C0"/>
      <rgbColor rgb="FF808080"/>
      <rgbColor rgb="FF9999FF"/>
      <rgbColor rgb="FFC62828"/>
      <rgbColor rgb="FFFFF3C4"/>
      <rgbColor rgb="FFE3EEF9"/>
      <rgbColor rgb="FF660066"/>
      <rgbColor rgb="FFFF8080"/>
      <rgbColor rgb="FF1565C0"/>
      <rgbColor rgb="FFD9E1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A"/>
      <rgbColor rgb="FFD7F0DB"/>
      <rgbColor rgb="FFFBE1E1"/>
      <rgbColor rgb="FF99CCFF"/>
      <rgbColor rgb="FFFF99CC"/>
      <rgbColor rgb="FFCC99FF"/>
      <rgbColor rgb="FFFFE0C2"/>
      <rgbColor rgb="FF3366FF"/>
      <rgbColor rgb="FF33CCCC"/>
      <rgbColor rgb="FF99CC00"/>
      <rgbColor rgb="FFFFCC00"/>
      <rgbColor rgb="FFFF9900"/>
      <rgbColor rgb="FFB85C00"/>
      <rgbColor rgb="FF5A6B7D"/>
      <rgbColor rgb="FF8A99A8"/>
      <rgbColor rgb="FF1F3A5F"/>
      <rgbColor rgb="FF2E7D32"/>
      <rgbColor rgb="FF003300"/>
      <rgbColor rgb="FF333300"/>
      <rgbColor rgb="FFA04A00"/>
      <rgbColor rgb="FFB71C1C"/>
      <rgbColor rgb="FF333399"/>
      <rgbColor rgb="FF26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ncbi.nlm.nih.gov/pmc/articles/PMC12832298/" TargetMode="External"/><Relationship Id="rId2" Type="http://schemas.openxmlformats.org/officeDocument/2006/relationships/hyperlink" Target="https://www.ncbi.nlm.nih.gov/pmc/articles/PMC10943690/" TargetMode="External"/><Relationship Id="rId3" Type="http://schemas.openxmlformats.org/officeDocument/2006/relationships/hyperlink" Target="https://pmc.ncbi.nlm.nih.gov/articles/PMC10240007" TargetMode="External"/><Relationship Id="rId4" Type="http://schemas.openxmlformats.org/officeDocument/2006/relationships/hyperlink" Target="https://www.urotoday.com/recent-abstracts/endourology-urolithiasis/stone-disease/124260-an-ensemble-of-deep-neural-networks-for-kidney-ultrasound-image-classification.html" TargetMode="External"/><Relationship Id="rId5" Type="http://schemas.openxmlformats.org/officeDocument/2006/relationships/hyperlink" Target="https://doaj.org/article/7b2006feb9804eaeb2b0a3b14246c212" TargetMode="External"/><Relationship Id="rId6" Type="http://schemas.openxmlformats.org/officeDocument/2006/relationships/hyperlink" Target="https://www.ncbi.nlm.nih.gov/pmc/articles/PMC10998270/" TargetMode="External"/><Relationship Id="rId7" Type="http://schemas.openxmlformats.org/officeDocument/2006/relationships/hyperlink" Target="https://www.ncbi.nlm.nih.gov/pmc/articles/PMC6550224/" TargetMode="External"/><Relationship Id="rId8" Type="http://schemas.openxmlformats.org/officeDocument/2006/relationships/hyperlink" Target="https://arxiv.org/pdf/2206.06657v1" TargetMode="External"/><Relationship Id="rId9" Type="http://schemas.openxmlformats.org/officeDocument/2006/relationships/hyperlink" Target="https://ntlib.org.cn/asset/detail/0/203795417450" TargetMode="External"/><Relationship Id="rId10" Type="http://schemas.openxmlformats.org/officeDocument/2006/relationships/hyperlink" Target="https://www.inderscience.com/filter.php?aid=126499" TargetMode="External"/><Relationship Id="rId11" Type="http://schemas.openxmlformats.org/officeDocument/2006/relationships/hyperlink" Target="https://etasr.com/index.php/ETASR/article/download/16275/6301/81473" TargetMode="External"/><Relationship Id="rId12" Type="http://schemas.openxmlformats.org/officeDocument/2006/relationships/hyperlink" Target="https://scholars.lib.ntu.edu.tw/handle/123456789/631155" TargetMode="External"/><Relationship Id="rId13" Type="http://schemas.openxmlformats.org/officeDocument/2006/relationships/hyperlink" Target="https://www.medrxiv.org/content/10.1101/2020.08.17.20176958v1.full" TargetMode="External"/><Relationship Id="rId14" Type="http://schemas.openxmlformats.org/officeDocument/2006/relationships/hyperlink" Target="https://pmc.ncbi.nlm.nih.gov/articles/PMC12647705" TargetMode="External"/><Relationship Id="rId15" Type="http://schemas.openxmlformats.org/officeDocument/2006/relationships/hyperlink" Target="https://www.f6publishing.com/ArticleInPressDetail/124607" TargetMode="External"/><Relationship Id="rId16" Type="http://schemas.openxmlformats.org/officeDocument/2006/relationships/hyperlink" Target="https://www.jove.com/t/66802/point-care-kidney-genitourinary-ultrasound-adults-image" TargetMode="External"/><Relationship Id="rId17" Type="http://schemas.openxmlformats.org/officeDocument/2006/relationships/hyperlink" Target="https://publish.csiro.au/hc/CrossrefCites/HC18034" TargetMode="External"/><Relationship Id="rId18" Type="http://schemas.openxmlformats.org/officeDocument/2006/relationships/hyperlink" Target="https://doaj.org/article/c9dce30c0180466cb814415804e833b1" TargetMode="External"/><Relationship Id="rId19" Type="http://schemas.openxmlformats.org/officeDocument/2006/relationships/hyperlink" Target="https://doaj.org/article/63b5bdddb3c94a15b656a7589a9df856" TargetMode="External"/><Relationship Id="rId20" Type="http://schemas.openxmlformats.org/officeDocument/2006/relationships/hyperlink" Target="https://www.urotoday.com/recent-abstracts/endourology-urolithiasis/stone-disease/166403-ultrasound-based-kidney-stone-classification-using-kronecker-self-organizing-map-forward-harmonic-network.html" TargetMode="External"/><Relationship Id="rId21" Type="http://schemas.openxmlformats.org/officeDocument/2006/relationships/hyperlink" Target="https://ntut.elsevierpure.com/en/publications/prediction-of-chronic-kidney-disease-stages-by-renal-ultrasound-i/" TargetMode="External"/><Relationship Id="rId22" Type="http://schemas.openxmlformats.org/officeDocument/2006/relationships/hyperlink" Target="https://doaj.org/article/48200a22f73c46bb8e865592ae00d4ec" TargetMode="External"/><Relationship Id="rId23" Type="http://schemas.openxmlformats.org/officeDocument/2006/relationships/hyperlink" Target="https://www.citedrive.com/en/discovery/advancements-in-artificial-intelligence-for-detecting-urinary-tract-stones-a-systematic-review-of-imaging-based-approaches/" TargetMode="External"/><Relationship Id="rId2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3" min="3" style="0" width="42"/>
    <col collapsed="false" customWidth="true" hidden="false" outlineLevel="0" max="4" min="4" style="0" width="28"/>
    <col collapsed="false" customWidth="true" hidden="false" outlineLevel="0" max="6" min="5" style="0" width="14"/>
    <col collapsed="false" customWidth="true" hidden="false" outlineLevel="0" max="7" min="7" style="0" width="1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9.5" hidden="false" customHeight="true" outlineLevel="0" collapsed="false">
      <c r="B3" s="3" t="s">
        <v>2</v>
      </c>
      <c r="C3" s="3" t="s">
        <v>3</v>
      </c>
      <c r="D3" s="3" t="s">
        <v>4</v>
      </c>
      <c r="E3" s="4" t="s">
        <v>5</v>
      </c>
      <c r="F3" s="4"/>
      <c r="G3" s="4"/>
    </row>
    <row r="4" customFormat="false" ht="31.5" hidden="false" customHeight="true" outlineLevel="0" collapsed="false">
      <c r="B4" s="5" t="n">
        <f aca="false">COUNTA(B7:B29)</f>
        <v>23</v>
      </c>
      <c r="C4" s="6" t="n">
        <f aca="false">COUNTIF(E7:E29,"Read")</f>
        <v>0</v>
      </c>
      <c r="D4" s="7" t="n">
        <f aca="false">COUNTIF(E7:E29,"Not read")</f>
        <v>23</v>
      </c>
      <c r="E4" s="8" t="n">
        <f aca="false">COUNTIF(F7:F29,"High")</f>
        <v>8</v>
      </c>
      <c r="F4" s="8"/>
      <c r="G4" s="8"/>
    </row>
    <row r="5" customFormat="false" ht="9.75" hidden="false" customHeight="true" outlineLevel="0" collapsed="false"/>
    <row r="6" customFormat="false" ht="27.75" hidden="false" customHeight="true" outlineLevel="0" collapsed="false">
      <c r="A6" s="9" t="s">
        <v>6</v>
      </c>
      <c r="B6" s="10" t="s">
        <v>7</v>
      </c>
      <c r="C6" s="10" t="s">
        <v>8</v>
      </c>
      <c r="D6" s="10" t="s">
        <v>9</v>
      </c>
      <c r="E6" s="9" t="s">
        <v>10</v>
      </c>
      <c r="F6" s="9" t="s">
        <v>11</v>
      </c>
      <c r="G6" s="9" t="s">
        <v>12</v>
      </c>
    </row>
    <row r="7" customFormat="false" ht="48" hidden="false" customHeight="true" outlineLevel="0" collapsed="false">
      <c r="A7" s="11" t="n">
        <v>1</v>
      </c>
      <c r="B7" s="12" t="s">
        <v>13</v>
      </c>
      <c r="C7" s="13" t="s">
        <v>14</v>
      </c>
      <c r="D7" s="14" t="s">
        <v>15</v>
      </c>
      <c r="E7" s="15" t="s">
        <v>4</v>
      </c>
      <c r="F7" s="15" t="s">
        <v>16</v>
      </c>
      <c r="G7" s="16" t="s">
        <v>17</v>
      </c>
    </row>
    <row r="8" customFormat="false" ht="48" hidden="false" customHeight="true" outlineLevel="0" collapsed="false">
      <c r="A8" s="17" t="n">
        <v>2</v>
      </c>
      <c r="B8" s="18" t="s">
        <v>18</v>
      </c>
      <c r="C8" s="19" t="s">
        <v>19</v>
      </c>
      <c r="D8" s="20" t="s">
        <v>15</v>
      </c>
      <c r="E8" s="21" t="s">
        <v>4</v>
      </c>
      <c r="F8" s="21" t="s">
        <v>16</v>
      </c>
      <c r="G8" s="22" t="s">
        <v>17</v>
      </c>
    </row>
    <row r="9" customFormat="false" ht="48" hidden="false" customHeight="true" outlineLevel="0" collapsed="false">
      <c r="A9" s="11" t="n">
        <v>3</v>
      </c>
      <c r="B9" s="12" t="s">
        <v>20</v>
      </c>
      <c r="C9" s="13" t="s">
        <v>21</v>
      </c>
      <c r="D9" s="14" t="s">
        <v>15</v>
      </c>
      <c r="E9" s="15" t="s">
        <v>4</v>
      </c>
      <c r="F9" s="15" t="s">
        <v>16</v>
      </c>
      <c r="G9" s="16" t="s">
        <v>17</v>
      </c>
    </row>
    <row r="10" customFormat="false" ht="48" hidden="false" customHeight="true" outlineLevel="0" collapsed="false">
      <c r="A10" s="17" t="n">
        <v>4</v>
      </c>
      <c r="B10" s="18" t="s">
        <v>22</v>
      </c>
      <c r="C10" s="19" t="s">
        <v>23</v>
      </c>
      <c r="D10" s="20" t="s">
        <v>24</v>
      </c>
      <c r="E10" s="21" t="s">
        <v>4</v>
      </c>
      <c r="F10" s="21" t="s">
        <v>16</v>
      </c>
      <c r="G10" s="22" t="s">
        <v>17</v>
      </c>
    </row>
    <row r="11" customFormat="false" ht="48" hidden="false" customHeight="true" outlineLevel="0" collapsed="false">
      <c r="A11" s="11" t="n">
        <v>5</v>
      </c>
      <c r="B11" s="12" t="s">
        <v>25</v>
      </c>
      <c r="C11" s="13" t="s">
        <v>26</v>
      </c>
      <c r="D11" s="14" t="s">
        <v>27</v>
      </c>
      <c r="E11" s="15" t="s">
        <v>4</v>
      </c>
      <c r="F11" s="15" t="s">
        <v>16</v>
      </c>
      <c r="G11" s="16" t="s">
        <v>17</v>
      </c>
    </row>
    <row r="12" customFormat="false" ht="48" hidden="false" customHeight="true" outlineLevel="0" collapsed="false">
      <c r="A12" s="17" t="n">
        <v>6</v>
      </c>
      <c r="B12" s="18" t="s">
        <v>28</v>
      </c>
      <c r="C12" s="19" t="s">
        <v>29</v>
      </c>
      <c r="D12" s="20" t="s">
        <v>15</v>
      </c>
      <c r="E12" s="21" t="s">
        <v>4</v>
      </c>
      <c r="F12" s="21" t="s">
        <v>16</v>
      </c>
      <c r="G12" s="22" t="s">
        <v>17</v>
      </c>
    </row>
    <row r="13" customFormat="false" ht="48" hidden="false" customHeight="true" outlineLevel="0" collapsed="false">
      <c r="A13" s="11" t="n">
        <v>7</v>
      </c>
      <c r="B13" s="12" t="s">
        <v>30</v>
      </c>
      <c r="C13" s="13" t="s">
        <v>31</v>
      </c>
      <c r="D13" s="14" t="s">
        <v>32</v>
      </c>
      <c r="E13" s="15" t="s">
        <v>4</v>
      </c>
      <c r="F13" s="15" t="s">
        <v>16</v>
      </c>
      <c r="G13" s="16" t="s">
        <v>17</v>
      </c>
    </row>
    <row r="14" customFormat="false" ht="48" hidden="false" customHeight="true" outlineLevel="0" collapsed="false">
      <c r="A14" s="17" t="n">
        <v>8</v>
      </c>
      <c r="B14" s="18" t="s">
        <v>33</v>
      </c>
      <c r="C14" s="19" t="s">
        <v>34</v>
      </c>
      <c r="D14" s="20" t="s">
        <v>35</v>
      </c>
      <c r="E14" s="21" t="s">
        <v>4</v>
      </c>
      <c r="F14" s="21" t="s">
        <v>16</v>
      </c>
      <c r="G14" s="22" t="s">
        <v>17</v>
      </c>
    </row>
    <row r="15" customFormat="false" ht="48" hidden="false" customHeight="true" outlineLevel="0" collapsed="false">
      <c r="A15" s="11" t="n">
        <v>9</v>
      </c>
      <c r="B15" s="12" t="s">
        <v>36</v>
      </c>
      <c r="C15" s="13" t="s">
        <v>37</v>
      </c>
      <c r="D15" s="14" t="s">
        <v>38</v>
      </c>
      <c r="E15" s="15" t="s">
        <v>4</v>
      </c>
      <c r="F15" s="15" t="s">
        <v>39</v>
      </c>
      <c r="G15" s="16" t="s">
        <v>17</v>
      </c>
    </row>
    <row r="16" customFormat="false" ht="48" hidden="false" customHeight="true" outlineLevel="0" collapsed="false">
      <c r="A16" s="17" t="n">
        <v>10</v>
      </c>
      <c r="B16" s="18" t="s">
        <v>40</v>
      </c>
      <c r="C16" s="19" t="s">
        <v>41</v>
      </c>
      <c r="D16" s="20" t="s">
        <v>42</v>
      </c>
      <c r="E16" s="21" t="s">
        <v>4</v>
      </c>
      <c r="F16" s="21" t="s">
        <v>39</v>
      </c>
      <c r="G16" s="22" t="s">
        <v>17</v>
      </c>
    </row>
    <row r="17" customFormat="false" ht="48" hidden="false" customHeight="true" outlineLevel="0" collapsed="false">
      <c r="A17" s="11" t="n">
        <v>11</v>
      </c>
      <c r="B17" s="12" t="s">
        <v>43</v>
      </c>
      <c r="C17" s="13" t="s">
        <v>44</v>
      </c>
      <c r="D17" s="14" t="s">
        <v>15</v>
      </c>
      <c r="E17" s="15" t="s">
        <v>4</v>
      </c>
      <c r="F17" s="15" t="s">
        <v>39</v>
      </c>
      <c r="G17" s="16" t="s">
        <v>17</v>
      </c>
    </row>
    <row r="18" customFormat="false" ht="48" hidden="false" customHeight="true" outlineLevel="0" collapsed="false">
      <c r="A18" s="17" t="n">
        <v>12</v>
      </c>
      <c r="B18" s="18" t="s">
        <v>45</v>
      </c>
      <c r="C18" s="19" t="s">
        <v>46</v>
      </c>
      <c r="D18" s="20" t="s">
        <v>15</v>
      </c>
      <c r="E18" s="21" t="s">
        <v>4</v>
      </c>
      <c r="F18" s="21" t="s">
        <v>39</v>
      </c>
      <c r="G18" s="22" t="s">
        <v>17</v>
      </c>
    </row>
    <row r="19" customFormat="false" ht="48" hidden="false" customHeight="true" outlineLevel="0" collapsed="false">
      <c r="A19" s="11" t="n">
        <v>13</v>
      </c>
      <c r="B19" s="12" t="s">
        <v>47</v>
      </c>
      <c r="C19" s="13" t="s">
        <v>48</v>
      </c>
      <c r="D19" s="14" t="s">
        <v>15</v>
      </c>
      <c r="E19" s="15" t="s">
        <v>4</v>
      </c>
      <c r="F19" s="15" t="s">
        <v>39</v>
      </c>
      <c r="G19" s="16" t="s">
        <v>17</v>
      </c>
    </row>
    <row r="20" customFormat="false" ht="48" hidden="false" customHeight="true" outlineLevel="0" collapsed="false">
      <c r="A20" s="17" t="n">
        <v>14</v>
      </c>
      <c r="B20" s="18" t="s">
        <v>49</v>
      </c>
      <c r="C20" s="19" t="s">
        <v>50</v>
      </c>
      <c r="D20" s="20" t="s">
        <v>15</v>
      </c>
      <c r="E20" s="21" t="s">
        <v>4</v>
      </c>
      <c r="F20" s="21" t="s">
        <v>39</v>
      </c>
      <c r="G20" s="22" t="s">
        <v>17</v>
      </c>
    </row>
    <row r="21" customFormat="false" ht="48" hidden="false" customHeight="true" outlineLevel="0" collapsed="false">
      <c r="A21" s="11" t="n">
        <v>15</v>
      </c>
      <c r="B21" s="12" t="s">
        <v>51</v>
      </c>
      <c r="C21" s="13" t="s">
        <v>52</v>
      </c>
      <c r="D21" s="14" t="s">
        <v>53</v>
      </c>
      <c r="E21" s="15" t="s">
        <v>4</v>
      </c>
      <c r="F21" s="15" t="s">
        <v>39</v>
      </c>
      <c r="G21" s="16" t="s">
        <v>17</v>
      </c>
    </row>
    <row r="22" customFormat="false" ht="48" hidden="false" customHeight="true" outlineLevel="0" collapsed="false">
      <c r="A22" s="17" t="n">
        <v>16</v>
      </c>
      <c r="B22" s="18" t="s">
        <v>54</v>
      </c>
      <c r="C22" s="19" t="s">
        <v>55</v>
      </c>
      <c r="D22" s="20" t="s">
        <v>15</v>
      </c>
      <c r="E22" s="21" t="s">
        <v>4</v>
      </c>
      <c r="F22" s="21" t="s">
        <v>39</v>
      </c>
      <c r="G22" s="22" t="s">
        <v>17</v>
      </c>
    </row>
    <row r="23" customFormat="false" ht="48" hidden="false" customHeight="true" outlineLevel="0" collapsed="false">
      <c r="A23" s="11" t="n">
        <v>17</v>
      </c>
      <c r="B23" s="12" t="s">
        <v>56</v>
      </c>
      <c r="C23" s="13" t="s">
        <v>57</v>
      </c>
      <c r="D23" s="14" t="s">
        <v>58</v>
      </c>
      <c r="E23" s="15" t="s">
        <v>4</v>
      </c>
      <c r="F23" s="15" t="s">
        <v>39</v>
      </c>
      <c r="G23" s="16" t="s">
        <v>17</v>
      </c>
    </row>
    <row r="24" customFormat="false" ht="48" hidden="false" customHeight="true" outlineLevel="0" collapsed="false">
      <c r="A24" s="17" t="n">
        <v>18</v>
      </c>
      <c r="B24" s="18" t="s">
        <v>59</v>
      </c>
      <c r="C24" s="19" t="s">
        <v>60</v>
      </c>
      <c r="D24" s="20" t="s">
        <v>15</v>
      </c>
      <c r="E24" s="21" t="s">
        <v>4</v>
      </c>
      <c r="F24" s="21" t="s">
        <v>61</v>
      </c>
      <c r="G24" s="22" t="s">
        <v>17</v>
      </c>
    </row>
    <row r="25" customFormat="false" ht="48" hidden="false" customHeight="true" outlineLevel="0" collapsed="false">
      <c r="A25" s="11" t="n">
        <v>19</v>
      </c>
      <c r="B25" s="12" t="s">
        <v>62</v>
      </c>
      <c r="C25" s="13" t="s">
        <v>63</v>
      </c>
      <c r="D25" s="14" t="s">
        <v>64</v>
      </c>
      <c r="E25" s="15" t="s">
        <v>4</v>
      </c>
      <c r="F25" s="15" t="s">
        <v>61</v>
      </c>
      <c r="G25" s="16" t="s">
        <v>17</v>
      </c>
    </row>
    <row r="26" customFormat="false" ht="48" hidden="false" customHeight="true" outlineLevel="0" collapsed="false">
      <c r="A26" s="17" t="n">
        <v>20</v>
      </c>
      <c r="B26" s="18" t="s">
        <v>65</v>
      </c>
      <c r="C26" s="19" t="s">
        <v>66</v>
      </c>
      <c r="D26" s="20" t="s">
        <v>67</v>
      </c>
      <c r="E26" s="21" t="s">
        <v>4</v>
      </c>
      <c r="F26" s="21" t="s">
        <v>61</v>
      </c>
      <c r="G26" s="22" t="s">
        <v>17</v>
      </c>
    </row>
    <row r="27" customFormat="false" ht="48" hidden="false" customHeight="true" outlineLevel="0" collapsed="false">
      <c r="A27" s="11" t="n">
        <v>21</v>
      </c>
      <c r="B27" s="12" t="s">
        <v>68</v>
      </c>
      <c r="C27" s="13" t="s">
        <v>69</v>
      </c>
      <c r="D27" s="14" t="s">
        <v>70</v>
      </c>
      <c r="E27" s="15" t="s">
        <v>4</v>
      </c>
      <c r="F27" s="15" t="s">
        <v>61</v>
      </c>
      <c r="G27" s="16" t="s">
        <v>17</v>
      </c>
    </row>
    <row r="28" customFormat="false" ht="48" hidden="false" customHeight="true" outlineLevel="0" collapsed="false">
      <c r="A28" s="17" t="n">
        <v>22</v>
      </c>
      <c r="B28" s="18" t="s">
        <v>71</v>
      </c>
      <c r="C28" s="19" t="s">
        <v>72</v>
      </c>
      <c r="D28" s="20" t="s">
        <v>73</v>
      </c>
      <c r="E28" s="21" t="s">
        <v>4</v>
      </c>
      <c r="F28" s="21" t="s">
        <v>61</v>
      </c>
      <c r="G28" s="22" t="s">
        <v>17</v>
      </c>
    </row>
    <row r="29" customFormat="false" ht="48" hidden="false" customHeight="true" outlineLevel="0" collapsed="false">
      <c r="A29" s="11" t="n">
        <v>23</v>
      </c>
      <c r="B29" s="12" t="s">
        <v>74</v>
      </c>
      <c r="C29" s="13" t="s">
        <v>75</v>
      </c>
      <c r="D29" s="14" t="s">
        <v>76</v>
      </c>
      <c r="E29" s="15" t="s">
        <v>4</v>
      </c>
      <c r="F29" s="15" t="s">
        <v>61</v>
      </c>
      <c r="G29" s="16" t="s">
        <v>17</v>
      </c>
    </row>
  </sheetData>
  <autoFilter ref="A6:G29"/>
  <mergeCells count="4">
    <mergeCell ref="A1:G1"/>
    <mergeCell ref="A2:G2"/>
    <mergeCell ref="E3:G3"/>
    <mergeCell ref="E4:G4"/>
  </mergeCells>
  <conditionalFormatting sqref="E7:E200">
    <cfRule type="cellIs" priority="2" operator="equal" aboveAverage="0" equalAverage="0" bottom="0" percent="0" rank="0" text="" dxfId="14">
      <formula>"Read"</formula>
    </cfRule>
    <cfRule type="cellIs" priority="3" operator="equal" aboveAverage="0" equalAverage="0" bottom="0" percent="0" rank="0" text="" dxfId="15">
      <formula>"Not read"</formula>
    </cfRule>
  </conditionalFormatting>
  <conditionalFormatting sqref="F7:F200">
    <cfRule type="cellIs" priority="4" operator="equal" aboveAverage="0" equalAverage="0" bottom="0" percent="0" rank="0" text="" dxfId="16">
      <formula>"High"</formula>
    </cfRule>
    <cfRule type="cellIs" priority="5" operator="equal" aboveAverage="0" equalAverage="0" bottom="0" percent="0" rank="0" text="" dxfId="17">
      <formula>"Medium"</formula>
    </cfRule>
    <cfRule type="cellIs" priority="6" operator="equal" aboveAverage="0" equalAverage="0" bottom="0" percent="0" rank="0" text="" dxfId="18">
      <formula>"Low"</formula>
    </cfRule>
  </conditionalFormatting>
  <dataValidations count="2">
    <dataValidation allowBlank="false" errorStyle="stop" operator="between" showDropDown="false" showErrorMessage="false" showInputMessage="false" sqref="E7:E200" type="list">
      <formula1>"Read,Not read"</formula1>
      <formula2>0</formula2>
    </dataValidation>
    <dataValidation allowBlank="false" errorStyle="stop" operator="between" showDropDown="false" showErrorMessage="false" showInputMessage="false" sqref="F7:F200" type="list">
      <formula1>"High,Medium,Low"</formula1>
      <formula2>0</formula2>
    </dataValidation>
  </dataValidations>
  <hyperlinks>
    <hyperlink ref="G7" r:id="rId1" display="Open ↗"/>
    <hyperlink ref="G8" r:id="rId2" display="Open ↗"/>
    <hyperlink ref="G9" r:id="rId3" display="Open ↗"/>
    <hyperlink ref="G10" r:id="rId4" display="Open ↗"/>
    <hyperlink ref="G11" r:id="rId5" display="Open ↗"/>
    <hyperlink ref="G12" r:id="rId6" display="Open ↗"/>
    <hyperlink ref="G13" r:id="rId7" display="Open ↗"/>
    <hyperlink ref="G14" r:id="rId8" display="Open ↗"/>
    <hyperlink ref="G15" r:id="rId9" display="Open ↗"/>
    <hyperlink ref="G16" r:id="rId10" display="Open ↗"/>
    <hyperlink ref="G17" r:id="rId11" display="Open ↗"/>
    <hyperlink ref="G18" r:id="rId12" display="Open ↗"/>
    <hyperlink ref="G19" r:id="rId13" display="Open ↗"/>
    <hyperlink ref="G20" r:id="rId14" display="Open ↗"/>
    <hyperlink ref="G21" r:id="rId15" display="Open ↗"/>
    <hyperlink ref="G22" r:id="rId16" display="Open ↗"/>
    <hyperlink ref="G23" r:id="rId17" display="Open ↗"/>
    <hyperlink ref="G24" r:id="rId18" display="Open ↗"/>
    <hyperlink ref="G25" r:id="rId19" display="Open ↗"/>
    <hyperlink ref="G26" r:id="rId20" display="Open ↗"/>
    <hyperlink ref="G27" r:id="rId21" display="Open ↗"/>
    <hyperlink ref="G28" r:id="rId22" display="Open ↗"/>
    <hyperlink ref="G29" r:id="rId23" display="Open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1" customFormat="false" ht="30" hidden="false" customHeight="true" outlineLevel="0" collapsed="false">
      <c r="A1" s="23" t="s">
        <v>77</v>
      </c>
      <c r="B1" s="23"/>
    </row>
    <row r="3" customFormat="false" ht="21.75" hidden="false" customHeight="true" outlineLevel="0" collapsed="false">
      <c r="A3" s="24" t="s">
        <v>78</v>
      </c>
      <c r="B3" s="25" t="s">
        <v>79</v>
      </c>
    </row>
    <row r="4" customFormat="false" ht="21.75" hidden="false" customHeight="true" outlineLevel="0" collapsed="false">
      <c r="A4" s="24" t="s">
        <v>78</v>
      </c>
      <c r="B4" s="25" t="s">
        <v>80</v>
      </c>
    </row>
    <row r="5" customFormat="false" ht="21.75" hidden="false" customHeight="true" outlineLevel="0" collapsed="false">
      <c r="A5" s="24" t="s">
        <v>78</v>
      </c>
      <c r="B5" s="25" t="s">
        <v>81</v>
      </c>
    </row>
    <row r="6" customFormat="false" ht="21.75" hidden="false" customHeight="true" outlineLevel="0" collapsed="false">
      <c r="A6" s="24" t="s">
        <v>78</v>
      </c>
      <c r="B6" s="25" t="s">
        <v>82</v>
      </c>
    </row>
    <row r="7" customFormat="false" ht="21.75" hidden="false" customHeight="true" outlineLevel="0" collapsed="false">
      <c r="A7" s="24" t="s">
        <v>78</v>
      </c>
      <c r="B7" s="25" t="s">
        <v>83</v>
      </c>
    </row>
    <row r="8" customFormat="false" ht="21.75" hidden="false" customHeight="true" outlineLevel="0" collapsed="false">
      <c r="A8" s="24" t="s">
        <v>78</v>
      </c>
      <c r="B8" s="25" t="s">
        <v>84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2026-10-11T09:37:49Z</dcterms:created>
  <dc:creator>openpyxl</dc:creator>
  <dc:description/>
  <dc:language>en-US</dc:language>
  <cp:lastModifiedBy/>
  <dcterms:modified xsi:type="dcterms:W3CDTF">2026-10-11T09:37:49Z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